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9D18F8E1-D816-4C52-8462-6EE6CA12943C}" xr6:coauthVersionLast="47" xr6:coauthVersionMax="47" xr10:uidLastSave="{00000000-0000-0000-0000-000000000000}"/>
  <bookViews>
    <workbookView xWindow="-108" yWindow="-108" windowWidth="23256" windowHeight="12456" xr2:uid="{740623B9-AA8C-4BBC-B60F-829AA9A87E82}"/>
  </bookViews>
  <sheets>
    <sheet name="แบบ สพท.25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1" i="2" l="1"/>
  <c r="Y22" i="2"/>
  <c r="Y27" i="2"/>
  <c r="BP17" i="2"/>
  <c r="BJ17" i="2"/>
  <c r="BD17" i="2"/>
  <c r="BA17" i="2"/>
  <c r="AT17" i="2"/>
  <c r="AL17" i="2"/>
  <c r="AF17" i="2"/>
  <c r="Z17" i="2"/>
  <c r="T17" i="2"/>
  <c r="N17" i="2"/>
  <c r="E17" i="2"/>
  <c r="BP16" i="2"/>
  <c r="BJ16" i="2"/>
  <c r="BD16" i="2"/>
  <c r="BA16" i="2"/>
  <c r="AT16" i="2"/>
  <c r="AL16" i="2"/>
  <c r="AF16" i="2"/>
  <c r="Z16" i="2"/>
  <c r="T16" i="2"/>
  <c r="N16" i="2"/>
  <c r="E16" i="2"/>
  <c r="BP15" i="2"/>
  <c r="BJ15" i="2"/>
  <c r="BD15" i="2"/>
  <c r="BA15" i="2"/>
  <c r="AT15" i="2"/>
  <c r="AL15" i="2"/>
  <c r="AF15" i="2"/>
  <c r="Z15" i="2"/>
  <c r="T15" i="2"/>
  <c r="N15" i="2"/>
  <c r="E15" i="2"/>
  <c r="BP14" i="2"/>
  <c r="BJ14" i="2"/>
  <c r="BD14" i="2"/>
  <c r="BA14" i="2"/>
  <c r="AT14" i="2"/>
  <c r="AL14" i="2"/>
  <c r="AF14" i="2"/>
  <c r="Z14" i="2"/>
  <c r="T14" i="2"/>
  <c r="N14" i="2"/>
  <c r="E14" i="2"/>
  <c r="BP13" i="2"/>
  <c r="BJ13" i="2"/>
  <c r="BD13" i="2"/>
  <c r="BA13" i="2"/>
  <c r="AT13" i="2"/>
  <c r="AL13" i="2"/>
  <c r="AF13" i="2"/>
  <c r="Z13" i="2"/>
  <c r="T13" i="2"/>
  <c r="N13" i="2"/>
  <c r="E13" i="2"/>
  <c r="BP12" i="2"/>
  <c r="BJ12" i="2"/>
  <c r="BD12" i="2"/>
  <c r="BA12" i="2"/>
  <c r="AT12" i="2"/>
  <c r="AL12" i="2"/>
  <c r="AF12" i="2"/>
  <c r="Z12" i="2"/>
  <c r="T12" i="2"/>
  <c r="N12" i="2"/>
  <c r="E12" i="2"/>
  <c r="BP11" i="2"/>
  <c r="BJ11" i="2"/>
  <c r="BD11" i="2"/>
  <c r="BA11" i="2"/>
  <c r="AT11" i="2"/>
  <c r="AL11" i="2"/>
  <c r="AF11" i="2"/>
  <c r="Z11" i="2"/>
  <c r="T11" i="2"/>
  <c r="N11" i="2"/>
  <c r="E11" i="2"/>
  <c r="BP10" i="2"/>
  <c r="BJ10" i="2"/>
  <c r="BD10" i="2"/>
  <c r="BA10" i="2"/>
  <c r="AT10" i="2"/>
  <c r="AL10" i="2"/>
  <c r="AF10" i="2"/>
  <c r="Z10" i="2"/>
  <c r="T10" i="2"/>
  <c r="N10" i="2"/>
  <c r="E10" i="2"/>
  <c r="BP9" i="2"/>
  <c r="BJ9" i="2"/>
  <c r="BD9" i="2"/>
  <c r="BA9" i="2"/>
  <c r="AT9" i="2"/>
  <c r="AL9" i="2"/>
  <c r="AF9" i="2"/>
  <c r="Z9" i="2"/>
  <c r="T9" i="2"/>
  <c r="N9" i="2"/>
  <c r="E9" i="2"/>
  <c r="BP8" i="2"/>
  <c r="BJ8" i="2"/>
  <c r="BD8" i="2"/>
  <c r="BA8" i="2"/>
  <c r="AT8" i="2"/>
  <c r="AL8" i="2"/>
  <c r="AF8" i="2"/>
  <c r="Z8" i="2"/>
  <c r="T8" i="2"/>
  <c r="N8" i="2"/>
  <c r="E8" i="2"/>
  <c r="BP7" i="2"/>
  <c r="BJ7" i="2"/>
  <c r="BD7" i="2"/>
  <c r="BA7" i="2"/>
  <c r="AT7" i="2"/>
  <c r="AL7" i="2"/>
  <c r="AF7" i="2"/>
  <c r="Z7" i="2"/>
  <c r="T7" i="2"/>
  <c r="N7" i="2"/>
  <c r="BQ17" i="2" l="1"/>
  <c r="BQ16" i="2"/>
  <c r="BQ13" i="2"/>
  <c r="BQ14" i="2"/>
  <c r="BQ9" i="2"/>
  <c r="BQ12" i="2"/>
  <c r="BQ10" i="2"/>
  <c r="BQ15" i="2"/>
  <c r="BQ7" i="2"/>
  <c r="BQ11" i="2"/>
  <c r="BQ8" i="2"/>
  <c r="BS8" i="2" s="1"/>
  <c r="BS14" i="2"/>
  <c r="BR14" i="2"/>
  <c r="BR13" i="2"/>
  <c r="BS13" i="2"/>
  <c r="BS16" i="2"/>
  <c r="BR16" i="2"/>
  <c r="BS10" i="2"/>
  <c r="BR10" i="2"/>
  <c r="BS17" i="2"/>
  <c r="BR17" i="2"/>
  <c r="BR9" i="2"/>
  <c r="BS9" i="2"/>
  <c r="BS12" i="2"/>
  <c r="BR12" i="2"/>
  <c r="BR11" i="2"/>
  <c r="BS11" i="2"/>
  <c r="BS15" i="2"/>
  <c r="BR15" i="2"/>
  <c r="BR8" i="2" l="1"/>
  <c r="Y26" i="2"/>
  <c r="Y25" i="2"/>
  <c r="Y24" i="2"/>
</calcChain>
</file>

<file path=xl/sharedStrings.xml><?xml version="1.0" encoding="utf-8"?>
<sst xmlns="http://schemas.openxmlformats.org/spreadsheetml/2006/main" count="57" uniqueCount="35">
  <si>
    <t>4.2 โรงเรียน</t>
  </si>
  <si>
    <t>4.1 โรงเรียน</t>
  </si>
  <si>
    <t>ประกอบด้วย (ระบุชื่อโรงเรียนที่ไม่ได้จัดส่ง)</t>
  </si>
  <si>
    <t>แห่ง</t>
  </si>
  <si>
    <t>จำนวน</t>
  </si>
  <si>
    <t xml:space="preserve">     4. จำนวนโรงเรียนที่ไม่ได้จัดส่งแบบประเมินตนเอง  </t>
  </si>
  <si>
    <t xml:space="preserve">3.4   ระดับปรับปรุง </t>
  </si>
  <si>
    <t xml:space="preserve">3.3   ระดับพอใช้ </t>
  </si>
  <si>
    <t xml:space="preserve">3.2   ระดับดี </t>
  </si>
  <si>
    <t xml:space="preserve">3.1   ระดับดีมาก </t>
  </si>
  <si>
    <t xml:space="preserve">     3.  ผลการประเมินตนเองของโรงเรียนในสังกัด </t>
  </si>
  <si>
    <t xml:space="preserve">     2.  จำนวนโรงเรียนที่มีการจัดส่งแบบประเมินตนเอง </t>
  </si>
  <si>
    <t xml:space="preserve">     1.  จำนวนโรงเรียนที่เป็นหน่วยงานย่อยในสังกัด สพท.</t>
  </si>
  <si>
    <t>สรุปผลการประเมิน</t>
  </si>
  <si>
    <t>รวม</t>
  </si>
  <si>
    <t>ผลการประเมินการปฏิบัติงาน</t>
  </si>
  <si>
    <t>ระดับ
ค่าคะแนน</t>
  </si>
  <si>
    <t>ค่าคะแนนรวม</t>
  </si>
  <si>
    <t>10. การควบคุมใบเสร็จรับเงิน</t>
  </si>
  <si>
    <t>9. การควบคุมเงินยืม</t>
  </si>
  <si>
    <t>8. การตรวจสอบ
การรับจ่ายประจำวัน</t>
  </si>
  <si>
    <t>7. รายงานการเงิน</t>
  </si>
  <si>
    <t>6. การจัดทำบัญชี</t>
  </si>
  <si>
    <t>5. การจ่ายเงิน</t>
  </si>
  <si>
    <t>4. การรับเงิน</t>
  </si>
  <si>
    <t>3. การเก็บรักษาเงิน</t>
  </si>
  <si>
    <t>2. การควบคุมเงินคงเหลือ</t>
  </si>
  <si>
    <t>1. การบริหารเงินของสถานศึกษา</t>
  </si>
  <si>
    <t>ขนาดโรงเรียน</t>
  </si>
  <si>
    <t>จำนวนนักเรียน</t>
  </si>
  <si>
    <t>โรงเรียน</t>
  </si>
  <si>
    <t>ลำดับที่</t>
  </si>
  <si>
    <t>สังกัดสำนักงานเขตพื้นที่การศึกษา......................................................................................</t>
  </si>
  <si>
    <t>แบบสังเคราะห์ผลการประเมินการปฏิบัติงานด้านการเงิน การบัญชีของสถานศึกษาที่ปฏิบัติตามคู่มือการบัญชีสำหรับหน่วยงานย่อย พ.ศ. 2515</t>
  </si>
  <si>
    <t>แบบ สพท. 2515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</si>
</sst>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2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36"/>
      <color theme="1"/>
      <name val="TH SarabunPSK"/>
      <family val="2"/>
    </font>
    <font>
      <b/>
      <sz val="36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indexed="8"/>
      <name val="TH SarabunPSK"/>
      <family val="2"/>
    </font>
    <font>
      <b/>
      <sz val="14"/>
      <color theme="1"/>
      <name val="TH SarabunPSK"/>
      <family val="2"/>
    </font>
    <font>
      <b/>
      <sz val="11"/>
      <color theme="1"/>
      <name val="Tahoma"/>
      <family val="2"/>
      <charset val="222"/>
      <scheme val="minor"/>
    </font>
    <font>
      <b/>
      <sz val="18"/>
      <color theme="1"/>
      <name val="TH SarabunPSK"/>
      <family val="2"/>
    </font>
    <font>
      <b/>
      <sz val="26"/>
      <color theme="1"/>
      <name val="TH SarabunPSK"/>
      <family val="2"/>
    </font>
    <font>
      <b/>
      <sz val="24"/>
      <color theme="1"/>
      <name val="TH SarabunPSK"/>
      <family val="2"/>
    </font>
    <font>
      <sz val="2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2" fontId="5" fillId="0" borderId="3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2" fontId="5" fillId="0" borderId="5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vertical="top"/>
    </xf>
    <xf numFmtId="0" fontId="5" fillId="0" borderId="6" xfId="0" applyFont="1" applyBorder="1" applyAlignment="1">
      <alignment horizontal="center" vertical="top"/>
    </xf>
    <xf numFmtId="2" fontId="5" fillId="0" borderId="6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vertical="top"/>
    </xf>
    <xf numFmtId="0" fontId="4" fillId="0" borderId="7" xfId="0" applyFont="1" applyBorder="1" applyAlignment="1">
      <alignment horizontal="center" vertical="top"/>
    </xf>
    <xf numFmtId="2" fontId="5" fillId="0" borderId="8" xfId="0" applyNumberFormat="1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/>
    </xf>
    <xf numFmtId="187" fontId="6" fillId="0" borderId="10" xfId="0" applyNumberFormat="1" applyFont="1" applyBorder="1" applyAlignment="1">
      <alignment horizontal="center"/>
    </xf>
    <xf numFmtId="0" fontId="8" fillId="0" borderId="0" xfId="0" applyFont="1"/>
    <xf numFmtId="0" fontId="8" fillId="0" borderId="13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2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top"/>
    </xf>
    <xf numFmtId="2" fontId="11" fillId="0" borderId="0" xfId="0" applyNumberFormat="1" applyFont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vertical="top"/>
    </xf>
    <xf numFmtId="0" fontId="10" fillId="0" borderId="0" xfId="0" applyFont="1" applyAlignment="1">
      <alignment horizontal="left"/>
    </xf>
    <xf numFmtId="2" fontId="11" fillId="0" borderId="2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top" wrapText="1"/>
    </xf>
    <xf numFmtId="2" fontId="6" fillId="0" borderId="4" xfId="0" applyNumberFormat="1" applyFont="1" applyBorder="1" applyAlignment="1">
      <alignment horizontal="center" vertical="top" wrapText="1"/>
    </xf>
    <xf numFmtId="2" fontId="6" fillId="0" borderId="6" xfId="0" applyNumberFormat="1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818F-AD1C-476D-928C-26E18FF30C59}">
  <dimension ref="A1:BS33"/>
  <sheetViews>
    <sheetView tabSelected="1" zoomScale="70" zoomScaleNormal="70" workbookViewId="0">
      <selection activeCell="Y21" sqref="Y21"/>
    </sheetView>
  </sheetViews>
  <sheetFormatPr defaultRowHeight="13.8" x14ac:dyDescent="0.25"/>
  <cols>
    <col min="2" max="2" width="4.69921875" customWidth="1"/>
    <col min="3" max="3" width="24.8984375" customWidth="1"/>
    <col min="4" max="4" width="8" customWidth="1"/>
    <col min="5" max="5" width="11.09765625" bestFit="1" customWidth="1"/>
    <col min="6" max="7" width="4" bestFit="1" customWidth="1"/>
    <col min="8" max="8" width="4.69921875" customWidth="1"/>
    <col min="9" max="11" width="4" bestFit="1" customWidth="1"/>
    <col min="12" max="12" width="5.8984375" bestFit="1" customWidth="1"/>
    <col min="13" max="13" width="4" bestFit="1" customWidth="1"/>
    <col min="14" max="14" width="4.8984375" bestFit="1" customWidth="1"/>
    <col min="15" max="19" width="4" bestFit="1" customWidth="1"/>
    <col min="20" max="20" width="4.8984375" bestFit="1" customWidth="1"/>
    <col min="21" max="24" width="4" bestFit="1" customWidth="1"/>
    <col min="25" max="25" width="5.8984375" bestFit="1" customWidth="1"/>
    <col min="26" max="31" width="4" bestFit="1" customWidth="1"/>
    <col min="32" max="32" width="4.8984375" bestFit="1" customWidth="1"/>
    <col min="33" max="37" width="4" bestFit="1" customWidth="1"/>
    <col min="38" max="38" width="4.8984375" bestFit="1" customWidth="1"/>
    <col min="39" max="45" width="4" bestFit="1" customWidth="1"/>
    <col min="46" max="46" width="4.8984375" bestFit="1" customWidth="1"/>
    <col min="47" max="51" width="4" bestFit="1" customWidth="1"/>
    <col min="52" max="52" width="4" customWidth="1"/>
    <col min="53" max="55" width="4" bestFit="1" customWidth="1"/>
    <col min="56" max="56" width="6.59765625" customWidth="1"/>
    <col min="57" max="68" width="4" bestFit="1" customWidth="1"/>
    <col min="69" max="70" width="7.8984375"/>
    <col min="71" max="71" width="10.59765625" bestFit="1" customWidth="1"/>
  </cols>
  <sheetData>
    <row r="1" spans="1:71" ht="33" x14ac:dyDescent="0.6">
      <c r="A1" s="7"/>
      <c r="B1" s="9"/>
      <c r="C1" s="7"/>
      <c r="D1" s="7"/>
      <c r="E1" s="38"/>
      <c r="F1" s="38"/>
      <c r="G1" s="38"/>
      <c r="H1" s="38"/>
      <c r="I1" s="38"/>
      <c r="J1" s="38"/>
      <c r="K1" s="38"/>
      <c r="L1" s="39"/>
      <c r="M1" s="38"/>
      <c r="N1" s="38"/>
      <c r="O1" s="38"/>
      <c r="P1" s="38"/>
      <c r="Q1" s="38"/>
      <c r="R1" s="39"/>
      <c r="S1" s="38"/>
      <c r="T1" s="38"/>
      <c r="U1" s="38"/>
      <c r="V1" s="38"/>
      <c r="W1" s="38"/>
      <c r="X1" s="39"/>
      <c r="Y1" s="38"/>
      <c r="Z1" s="38"/>
      <c r="AA1" s="38"/>
      <c r="AB1" s="38"/>
      <c r="AC1" s="38"/>
      <c r="AD1" s="39"/>
      <c r="AE1" s="38"/>
      <c r="AF1" s="38"/>
      <c r="AG1" s="38"/>
      <c r="AH1" s="38"/>
      <c r="AI1" s="38"/>
      <c r="AJ1" s="39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9"/>
      <c r="AW1" s="38"/>
      <c r="AX1" s="39"/>
      <c r="AY1" s="38"/>
      <c r="AZ1" s="38"/>
      <c r="BA1" s="38"/>
      <c r="BB1" s="38"/>
      <c r="BC1" s="38"/>
      <c r="BD1" s="38"/>
      <c r="BE1" s="39"/>
      <c r="BF1" s="38"/>
      <c r="BG1" s="38"/>
      <c r="BH1" s="38"/>
      <c r="BI1" s="38"/>
      <c r="BJ1" s="38"/>
      <c r="BK1" s="7"/>
      <c r="BL1" s="7"/>
      <c r="BM1" s="38"/>
      <c r="BN1" s="7"/>
      <c r="BO1" s="7"/>
      <c r="BP1" s="37"/>
      <c r="BQ1" s="7"/>
      <c r="BR1" s="7"/>
      <c r="BS1" s="36" t="s">
        <v>34</v>
      </c>
    </row>
    <row r="2" spans="1:71" ht="33" x14ac:dyDescent="0.6">
      <c r="A2" s="7"/>
      <c r="B2" s="60" t="s">
        <v>33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</row>
    <row r="3" spans="1:71" ht="33" x14ac:dyDescent="0.6">
      <c r="A3" s="7"/>
      <c r="B3" s="60" t="s">
        <v>32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</row>
    <row r="4" spans="1:71" ht="23.4" x14ac:dyDescent="0.45">
      <c r="A4" s="7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4"/>
      <c r="BN4" s="34"/>
      <c r="BO4" s="34"/>
      <c r="BP4" s="7"/>
      <c r="BQ4" s="7"/>
      <c r="BR4" s="7"/>
      <c r="BS4" s="7"/>
    </row>
    <row r="5" spans="1:71" ht="45" customHeight="1" x14ac:dyDescent="0.25">
      <c r="A5" s="1"/>
      <c r="B5" s="61" t="s">
        <v>31</v>
      </c>
      <c r="C5" s="61" t="s">
        <v>30</v>
      </c>
      <c r="D5" s="61" t="s">
        <v>29</v>
      </c>
      <c r="E5" s="63" t="s">
        <v>28</v>
      </c>
      <c r="F5" s="57" t="s">
        <v>27</v>
      </c>
      <c r="G5" s="58"/>
      <c r="H5" s="58"/>
      <c r="I5" s="58"/>
      <c r="J5" s="58"/>
      <c r="K5" s="58"/>
      <c r="L5" s="58"/>
      <c r="M5" s="58"/>
      <c r="N5" s="59"/>
      <c r="O5" s="57" t="s">
        <v>26</v>
      </c>
      <c r="P5" s="58"/>
      <c r="Q5" s="58"/>
      <c r="R5" s="58"/>
      <c r="S5" s="58"/>
      <c r="T5" s="59"/>
      <c r="U5" s="57" t="s">
        <v>25</v>
      </c>
      <c r="V5" s="58"/>
      <c r="W5" s="58"/>
      <c r="X5" s="58"/>
      <c r="Y5" s="58"/>
      <c r="Z5" s="59"/>
      <c r="AA5" s="66" t="s">
        <v>24</v>
      </c>
      <c r="AB5" s="67"/>
      <c r="AC5" s="67"/>
      <c r="AD5" s="67"/>
      <c r="AE5" s="67"/>
      <c r="AF5" s="68"/>
      <c r="AG5" s="57" t="s">
        <v>23</v>
      </c>
      <c r="AH5" s="58"/>
      <c r="AI5" s="58"/>
      <c r="AJ5" s="58"/>
      <c r="AK5" s="58"/>
      <c r="AL5" s="59"/>
      <c r="AM5" s="57" t="s">
        <v>22</v>
      </c>
      <c r="AN5" s="58"/>
      <c r="AO5" s="58"/>
      <c r="AP5" s="58"/>
      <c r="AQ5" s="58"/>
      <c r="AR5" s="58"/>
      <c r="AS5" s="58"/>
      <c r="AT5" s="59"/>
      <c r="AU5" s="57" t="s">
        <v>21</v>
      </c>
      <c r="AV5" s="58"/>
      <c r="AW5" s="58"/>
      <c r="AX5" s="58"/>
      <c r="AY5" s="58"/>
      <c r="AZ5" s="58"/>
      <c r="BA5" s="59"/>
      <c r="BB5" s="57" t="s">
        <v>20</v>
      </c>
      <c r="BC5" s="58"/>
      <c r="BD5" s="59"/>
      <c r="BE5" s="57" t="s">
        <v>19</v>
      </c>
      <c r="BF5" s="58"/>
      <c r="BG5" s="58"/>
      <c r="BH5" s="58"/>
      <c r="BI5" s="58"/>
      <c r="BJ5" s="59"/>
      <c r="BK5" s="57" t="s">
        <v>18</v>
      </c>
      <c r="BL5" s="58"/>
      <c r="BM5" s="58"/>
      <c r="BN5" s="58"/>
      <c r="BO5" s="58"/>
      <c r="BP5" s="59"/>
      <c r="BQ5" s="69" t="s">
        <v>17</v>
      </c>
      <c r="BR5" s="71" t="s">
        <v>16</v>
      </c>
      <c r="BS5" s="71" t="s">
        <v>15</v>
      </c>
    </row>
    <row r="6" spans="1:71" ht="21" x14ac:dyDescent="0.35">
      <c r="A6" s="1"/>
      <c r="B6" s="62"/>
      <c r="C6" s="62"/>
      <c r="D6" s="62"/>
      <c r="E6" s="64"/>
      <c r="F6" s="33">
        <v>1.1000000000000001</v>
      </c>
      <c r="G6" s="33">
        <v>1.2</v>
      </c>
      <c r="H6" s="33">
        <v>1.3</v>
      </c>
      <c r="I6" s="33">
        <v>1.4</v>
      </c>
      <c r="J6" s="33">
        <v>1.5</v>
      </c>
      <c r="K6" s="33">
        <v>1.6</v>
      </c>
      <c r="L6" s="33">
        <v>1.7</v>
      </c>
      <c r="M6" s="33">
        <v>1.8</v>
      </c>
      <c r="N6" s="33" t="s">
        <v>14</v>
      </c>
      <c r="O6" s="33">
        <v>2.1</v>
      </c>
      <c r="P6" s="33">
        <v>2.2000000000000002</v>
      </c>
      <c r="Q6" s="33">
        <v>2.2999999999999998</v>
      </c>
      <c r="R6" s="33">
        <v>2.4</v>
      </c>
      <c r="S6" s="33">
        <v>2.5</v>
      </c>
      <c r="T6" s="33" t="s">
        <v>14</v>
      </c>
      <c r="U6" s="33">
        <v>3.1</v>
      </c>
      <c r="V6" s="33">
        <v>3.2</v>
      </c>
      <c r="W6" s="33">
        <v>3.3</v>
      </c>
      <c r="X6" s="33">
        <v>3.4</v>
      </c>
      <c r="Y6" s="33">
        <v>3.5</v>
      </c>
      <c r="Z6" s="33" t="s">
        <v>14</v>
      </c>
      <c r="AA6" s="33">
        <v>4.0999999999999996</v>
      </c>
      <c r="AB6" s="33">
        <v>4.2</v>
      </c>
      <c r="AC6" s="33">
        <v>4.3</v>
      </c>
      <c r="AD6" s="33">
        <v>4.4000000000000004</v>
      </c>
      <c r="AE6" s="33">
        <v>4.5</v>
      </c>
      <c r="AF6" s="33" t="s">
        <v>14</v>
      </c>
      <c r="AG6" s="33">
        <v>5.0999999999999996</v>
      </c>
      <c r="AH6" s="33">
        <v>5.2</v>
      </c>
      <c r="AI6" s="33">
        <v>5.3</v>
      </c>
      <c r="AJ6" s="33">
        <v>5.4</v>
      </c>
      <c r="AK6" s="33">
        <v>5.5</v>
      </c>
      <c r="AL6" s="33" t="s">
        <v>14</v>
      </c>
      <c r="AM6" s="33">
        <v>6.1</v>
      </c>
      <c r="AN6" s="33">
        <v>6.2</v>
      </c>
      <c r="AO6" s="33">
        <v>6.3</v>
      </c>
      <c r="AP6" s="33">
        <v>6.4</v>
      </c>
      <c r="AQ6" s="33">
        <v>6.5</v>
      </c>
      <c r="AR6" s="33">
        <v>6.6</v>
      </c>
      <c r="AS6" s="33">
        <v>6.7</v>
      </c>
      <c r="AT6" s="33" t="s">
        <v>14</v>
      </c>
      <c r="AU6" s="33">
        <v>7.1</v>
      </c>
      <c r="AV6" s="33">
        <v>7.2</v>
      </c>
      <c r="AW6" s="33">
        <v>7.3</v>
      </c>
      <c r="AX6" s="33">
        <v>7.4</v>
      </c>
      <c r="AY6" s="33">
        <v>7.5</v>
      </c>
      <c r="AZ6" s="33">
        <v>7.6</v>
      </c>
      <c r="BA6" s="33" t="s">
        <v>14</v>
      </c>
      <c r="BB6" s="33">
        <v>8.1</v>
      </c>
      <c r="BC6" s="33">
        <v>8.1999999999999993</v>
      </c>
      <c r="BD6" s="33" t="s">
        <v>14</v>
      </c>
      <c r="BE6" s="33">
        <v>9.1</v>
      </c>
      <c r="BF6" s="33">
        <v>9.1999999999999993</v>
      </c>
      <c r="BG6" s="33">
        <v>9.3000000000000007</v>
      </c>
      <c r="BH6" s="33">
        <v>9.4</v>
      </c>
      <c r="BI6" s="33">
        <v>9.5</v>
      </c>
      <c r="BJ6" s="33" t="s">
        <v>14</v>
      </c>
      <c r="BK6" s="33">
        <v>10.1</v>
      </c>
      <c r="BL6" s="33">
        <v>10.199999999999999</v>
      </c>
      <c r="BM6" s="33">
        <v>10.3</v>
      </c>
      <c r="BN6" s="33">
        <v>10.4</v>
      </c>
      <c r="BO6" s="33">
        <v>10.5</v>
      </c>
      <c r="BP6" s="32" t="s">
        <v>14</v>
      </c>
      <c r="BQ6" s="70"/>
      <c r="BR6" s="72"/>
      <c r="BS6" s="72"/>
    </row>
    <row r="7" spans="1:71" ht="21" x14ac:dyDescent="0.25">
      <c r="A7" s="1"/>
      <c r="B7" s="62"/>
      <c r="C7" s="62"/>
      <c r="D7" s="62"/>
      <c r="E7" s="65"/>
      <c r="F7" s="31">
        <v>2</v>
      </c>
      <c r="G7" s="31">
        <v>1</v>
      </c>
      <c r="H7" s="31">
        <v>1</v>
      </c>
      <c r="I7" s="31">
        <v>1</v>
      </c>
      <c r="J7" s="31">
        <v>1</v>
      </c>
      <c r="K7" s="31">
        <v>2</v>
      </c>
      <c r="L7" s="31">
        <v>1</v>
      </c>
      <c r="M7" s="31">
        <v>1</v>
      </c>
      <c r="N7" s="31">
        <f>SUM(F7:M7)</f>
        <v>10</v>
      </c>
      <c r="O7" s="31">
        <v>5</v>
      </c>
      <c r="P7" s="31">
        <v>5</v>
      </c>
      <c r="Q7" s="31">
        <v>2</v>
      </c>
      <c r="R7" s="31">
        <v>5</v>
      </c>
      <c r="S7" s="31">
        <v>3</v>
      </c>
      <c r="T7" s="31">
        <f>SUM(O7:S7)</f>
        <v>20</v>
      </c>
      <c r="U7" s="31">
        <v>1</v>
      </c>
      <c r="V7" s="31">
        <v>1</v>
      </c>
      <c r="W7" s="31">
        <v>2</v>
      </c>
      <c r="X7" s="31">
        <v>0.5</v>
      </c>
      <c r="Y7" s="31">
        <v>0.5</v>
      </c>
      <c r="Z7" s="31">
        <f>SUM(U7:Y7)</f>
        <v>5</v>
      </c>
      <c r="AA7" s="31">
        <v>1</v>
      </c>
      <c r="AB7" s="31">
        <v>2</v>
      </c>
      <c r="AC7" s="31">
        <v>4</v>
      </c>
      <c r="AD7" s="31">
        <v>2</v>
      </c>
      <c r="AE7" s="31">
        <v>1</v>
      </c>
      <c r="AF7" s="31">
        <f>SUM(AA7:AE7)</f>
        <v>10</v>
      </c>
      <c r="AG7" s="31">
        <v>5</v>
      </c>
      <c r="AH7" s="31">
        <v>5</v>
      </c>
      <c r="AI7" s="31">
        <v>5</v>
      </c>
      <c r="AJ7" s="31">
        <v>3</v>
      </c>
      <c r="AK7" s="31">
        <v>2</v>
      </c>
      <c r="AL7" s="31">
        <f>SUM(AG7:AK7)</f>
        <v>20</v>
      </c>
      <c r="AM7" s="31">
        <v>5</v>
      </c>
      <c r="AN7" s="31">
        <v>1</v>
      </c>
      <c r="AO7" s="31">
        <v>2</v>
      </c>
      <c r="AP7" s="31">
        <v>1</v>
      </c>
      <c r="AQ7" s="31">
        <v>2</v>
      </c>
      <c r="AR7" s="31">
        <v>3</v>
      </c>
      <c r="AS7" s="31">
        <v>3</v>
      </c>
      <c r="AT7" s="31">
        <f>SUM(AM7:AS7)</f>
        <v>17</v>
      </c>
      <c r="AU7" s="31">
        <v>2</v>
      </c>
      <c r="AV7" s="31">
        <v>1</v>
      </c>
      <c r="AW7" s="31">
        <v>0.5</v>
      </c>
      <c r="AX7" s="31">
        <v>0.5</v>
      </c>
      <c r="AY7" s="31">
        <v>0.5</v>
      </c>
      <c r="AZ7" s="31">
        <v>0.5</v>
      </c>
      <c r="BA7" s="31">
        <f>SUM(AU7:AZ7)</f>
        <v>5</v>
      </c>
      <c r="BB7" s="31">
        <v>1</v>
      </c>
      <c r="BC7" s="31">
        <v>2</v>
      </c>
      <c r="BD7" s="31">
        <f>SUM(BB7:BC7)</f>
        <v>3</v>
      </c>
      <c r="BE7" s="31">
        <v>1</v>
      </c>
      <c r="BF7" s="31">
        <v>1</v>
      </c>
      <c r="BG7" s="31">
        <v>1</v>
      </c>
      <c r="BH7" s="31">
        <v>1</v>
      </c>
      <c r="BI7" s="31">
        <v>1</v>
      </c>
      <c r="BJ7" s="31">
        <f>SUM(BE7:BI7)</f>
        <v>5</v>
      </c>
      <c r="BK7" s="31">
        <v>1</v>
      </c>
      <c r="BL7" s="31">
        <v>1</v>
      </c>
      <c r="BM7" s="31">
        <v>1</v>
      </c>
      <c r="BN7" s="31">
        <v>1</v>
      </c>
      <c r="BO7" s="31">
        <v>1</v>
      </c>
      <c r="BP7" s="31">
        <f>SUM(BK7:BO7)</f>
        <v>5</v>
      </c>
      <c r="BQ7" s="31">
        <f>SUM(BP7,BJ7,BD7,BA7,AT7,AL7,AF7,Z7,T7,N7)</f>
        <v>100</v>
      </c>
      <c r="BR7" s="73"/>
      <c r="BS7" s="73"/>
    </row>
    <row r="8" spans="1:71" ht="21" x14ac:dyDescent="0.25">
      <c r="A8" s="1"/>
      <c r="B8" s="30">
        <v>1</v>
      </c>
      <c r="C8" s="29"/>
      <c r="D8" s="28"/>
      <c r="E8" s="28" t="str">
        <f>IF(D8&lt;120,"เล็ก",IF(D8&lt;=719,"กลาง",IF(D8&lt;=1679,"ใหญ่",IF(D8&gt;=1680,"ใหญ่พิเศษ"))))</f>
        <v>เล็ก</v>
      </c>
      <c r="F8" s="27"/>
      <c r="G8" s="27"/>
      <c r="H8" s="27"/>
      <c r="I8" s="27"/>
      <c r="J8" s="27"/>
      <c r="K8" s="27"/>
      <c r="L8" s="27"/>
      <c r="M8" s="27"/>
      <c r="N8" s="26">
        <f>SUM(F8:M8)</f>
        <v>0</v>
      </c>
      <c r="O8" s="27"/>
      <c r="P8" s="27"/>
      <c r="Q8" s="27"/>
      <c r="R8" s="27"/>
      <c r="S8" s="27"/>
      <c r="T8" s="26">
        <f t="shared" ref="T8:T17" si="0">SUM(O8:S8)</f>
        <v>0</v>
      </c>
      <c r="U8" s="27"/>
      <c r="V8" s="27"/>
      <c r="W8" s="27"/>
      <c r="X8" s="27"/>
      <c r="Y8" s="27"/>
      <c r="Z8" s="26">
        <f t="shared" ref="Z8:Z17" si="1">SUM(U8:Y8)</f>
        <v>0</v>
      </c>
      <c r="AA8" s="27"/>
      <c r="AB8" s="27"/>
      <c r="AC8" s="27"/>
      <c r="AD8" s="27"/>
      <c r="AE8" s="27"/>
      <c r="AF8" s="26">
        <f t="shared" ref="AF8:AF17" si="2">SUM(AA8:AE8)</f>
        <v>0</v>
      </c>
      <c r="AG8" s="27"/>
      <c r="AH8" s="27"/>
      <c r="AI8" s="27"/>
      <c r="AJ8" s="27"/>
      <c r="AK8" s="27"/>
      <c r="AL8" s="26">
        <f t="shared" ref="AL8:AL17" si="3">SUM(AG8:AK8)</f>
        <v>0</v>
      </c>
      <c r="AM8" s="27"/>
      <c r="AN8" s="27"/>
      <c r="AO8" s="27"/>
      <c r="AP8" s="27"/>
      <c r="AQ8" s="27"/>
      <c r="AR8" s="27"/>
      <c r="AS8" s="27"/>
      <c r="AT8" s="26">
        <f>SUM(AM8:AS8)</f>
        <v>0</v>
      </c>
      <c r="AU8" s="27"/>
      <c r="AV8" s="27"/>
      <c r="AW8" s="27"/>
      <c r="AX8" s="27"/>
      <c r="AY8" s="27"/>
      <c r="AZ8" s="27"/>
      <c r="BA8" s="26">
        <f>SUM(AU8:AZ8)</f>
        <v>0</v>
      </c>
      <c r="BB8" s="27"/>
      <c r="BC8" s="27"/>
      <c r="BD8" s="26">
        <f t="shared" ref="BD8:BD17" si="4">SUM(BB8:BC8)</f>
        <v>0</v>
      </c>
      <c r="BE8" s="27"/>
      <c r="BF8" s="27"/>
      <c r="BG8" s="27"/>
      <c r="BH8" s="27"/>
      <c r="BI8" s="27"/>
      <c r="BJ8" s="26">
        <f t="shared" ref="BJ8:BJ17" si="5">SUM(BE8:BI8)</f>
        <v>0</v>
      </c>
      <c r="BK8" s="27"/>
      <c r="BL8" s="27"/>
      <c r="BM8" s="27"/>
      <c r="BN8" s="27"/>
      <c r="BO8" s="27"/>
      <c r="BP8" s="26">
        <f t="shared" ref="BP8:BP17" si="6">SUM(BK8:BO8)</f>
        <v>0</v>
      </c>
      <c r="BQ8" s="26">
        <f>SUM(N8,T8,Z8,AF8,AL8,AT8,BA8,BD8,BJ8,BP8)</f>
        <v>0</v>
      </c>
      <c r="BR8" s="25" t="str">
        <f>IF(BQ8&lt;60,"1",IF(BQ8&lt;=69.5,"2",IF(BQ8&lt;=84.5,"3",IF(BQ8&gt;=85,"4"))))</f>
        <v>1</v>
      </c>
      <c r="BS8" s="25" t="str">
        <f t="shared" ref="BS8:BS17" si="7">IF(BQ8&lt;60,"ปรับปรุง",IF(BQ8&lt;=69.5,"พอใช้",IF(BQ8&lt;=84.5,"ดี",IF(BQ8&gt;=85,"ดีมาก"))))</f>
        <v>ปรับปรุง</v>
      </c>
    </row>
    <row r="9" spans="1:71" ht="21" x14ac:dyDescent="0.25">
      <c r="A9" s="1"/>
      <c r="B9" s="23">
        <v>2</v>
      </c>
      <c r="C9" s="24"/>
      <c r="D9" s="24"/>
      <c r="E9" s="23" t="str">
        <f t="shared" ref="E9:E17" si="8">IF(D9&lt;120,"เล็ก",IF(D9&lt;=719,"กลาง",IF(D9&lt;=1679,"ใหญ่",IF(D9&gt;=1680,"ใหญ่พิเศษ"))))</f>
        <v>เล็ก</v>
      </c>
      <c r="F9" s="22"/>
      <c r="G9" s="22"/>
      <c r="H9" s="22"/>
      <c r="I9" s="22"/>
      <c r="J9" s="22"/>
      <c r="K9" s="22"/>
      <c r="L9" s="22"/>
      <c r="M9" s="22"/>
      <c r="N9" s="21">
        <f t="shared" ref="N9:N17" si="9">SUM(F9:L9)</f>
        <v>0</v>
      </c>
      <c r="O9" s="22"/>
      <c r="P9" s="22"/>
      <c r="Q9" s="22"/>
      <c r="R9" s="22"/>
      <c r="S9" s="22"/>
      <c r="T9" s="21">
        <f t="shared" si="0"/>
        <v>0</v>
      </c>
      <c r="U9" s="22"/>
      <c r="V9" s="22"/>
      <c r="W9" s="22"/>
      <c r="X9" s="22"/>
      <c r="Y9" s="22"/>
      <c r="Z9" s="21">
        <f t="shared" si="1"/>
        <v>0</v>
      </c>
      <c r="AA9" s="22"/>
      <c r="AB9" s="22"/>
      <c r="AC9" s="22"/>
      <c r="AD9" s="22"/>
      <c r="AE9" s="22"/>
      <c r="AF9" s="21">
        <f t="shared" si="2"/>
        <v>0</v>
      </c>
      <c r="AG9" s="22"/>
      <c r="AH9" s="22"/>
      <c r="AI9" s="22"/>
      <c r="AJ9" s="22"/>
      <c r="AK9" s="22"/>
      <c r="AL9" s="21">
        <f t="shared" si="3"/>
        <v>0</v>
      </c>
      <c r="AM9" s="22"/>
      <c r="AN9" s="22"/>
      <c r="AO9" s="22"/>
      <c r="AP9" s="22"/>
      <c r="AQ9" s="22"/>
      <c r="AR9" s="22"/>
      <c r="AS9" s="22"/>
      <c r="AT9" s="21">
        <f t="shared" ref="AT9:AT17" si="10">SUM(AM9:AQ9)</f>
        <v>0</v>
      </c>
      <c r="AU9" s="22"/>
      <c r="AV9" s="22"/>
      <c r="AW9" s="22"/>
      <c r="AX9" s="22"/>
      <c r="AY9" s="22"/>
      <c r="AZ9" s="22"/>
      <c r="BA9" s="21">
        <f t="shared" ref="BA9:BA17" si="11">SUM(AU9:AZ9)</f>
        <v>0</v>
      </c>
      <c r="BB9" s="22"/>
      <c r="BC9" s="22"/>
      <c r="BD9" s="21">
        <f t="shared" si="4"/>
        <v>0</v>
      </c>
      <c r="BE9" s="22"/>
      <c r="BF9" s="22"/>
      <c r="BG9" s="22"/>
      <c r="BH9" s="22"/>
      <c r="BI9" s="22"/>
      <c r="BJ9" s="21">
        <f t="shared" si="5"/>
        <v>0</v>
      </c>
      <c r="BK9" s="22"/>
      <c r="BL9" s="22"/>
      <c r="BM9" s="22"/>
      <c r="BN9" s="22"/>
      <c r="BO9" s="22"/>
      <c r="BP9" s="21">
        <f t="shared" si="6"/>
        <v>0</v>
      </c>
      <c r="BQ9" s="21">
        <f t="shared" ref="BQ9:BQ17" si="12">SUM(N9,T9,Z9,AF9,AL9,AT9,BA9,BD9,BJ9,BP9)</f>
        <v>0</v>
      </c>
      <c r="BR9" s="20" t="str">
        <f t="shared" ref="BR9:BR17" si="13">IF(BQ9&lt;60,"1",IF(BQ9&lt;=69.5,"2",IF(BQ9&lt;=84.5,"3",IF(BQ9&gt;=85,"4"))))</f>
        <v>1</v>
      </c>
      <c r="BS9" s="20" t="str">
        <f t="shared" si="7"/>
        <v>ปรับปรุง</v>
      </c>
    </row>
    <row r="10" spans="1:71" ht="21" x14ac:dyDescent="0.25">
      <c r="A10" s="1"/>
      <c r="B10" s="23">
        <v>3</v>
      </c>
      <c r="C10" s="24"/>
      <c r="D10" s="24"/>
      <c r="E10" s="23" t="str">
        <f t="shared" si="8"/>
        <v>เล็ก</v>
      </c>
      <c r="F10" s="22"/>
      <c r="G10" s="22"/>
      <c r="H10" s="22"/>
      <c r="I10" s="22"/>
      <c r="J10" s="22"/>
      <c r="K10" s="22"/>
      <c r="L10" s="22"/>
      <c r="M10" s="22"/>
      <c r="N10" s="21">
        <f t="shared" si="9"/>
        <v>0</v>
      </c>
      <c r="O10" s="22"/>
      <c r="P10" s="22"/>
      <c r="Q10" s="22"/>
      <c r="R10" s="22"/>
      <c r="S10" s="22"/>
      <c r="T10" s="21">
        <f t="shared" si="0"/>
        <v>0</v>
      </c>
      <c r="U10" s="22"/>
      <c r="V10" s="22"/>
      <c r="W10" s="22"/>
      <c r="X10" s="22"/>
      <c r="Y10" s="22"/>
      <c r="Z10" s="21">
        <f t="shared" si="1"/>
        <v>0</v>
      </c>
      <c r="AA10" s="22"/>
      <c r="AB10" s="22"/>
      <c r="AC10" s="22"/>
      <c r="AD10" s="22"/>
      <c r="AE10" s="22"/>
      <c r="AF10" s="21">
        <f t="shared" si="2"/>
        <v>0</v>
      </c>
      <c r="AG10" s="22"/>
      <c r="AH10" s="22"/>
      <c r="AI10" s="22"/>
      <c r="AJ10" s="22"/>
      <c r="AK10" s="22"/>
      <c r="AL10" s="21">
        <f t="shared" si="3"/>
        <v>0</v>
      </c>
      <c r="AM10" s="22"/>
      <c r="AN10" s="22"/>
      <c r="AO10" s="22"/>
      <c r="AP10" s="22"/>
      <c r="AQ10" s="22"/>
      <c r="AR10" s="22"/>
      <c r="AS10" s="22"/>
      <c r="AT10" s="21">
        <f t="shared" si="10"/>
        <v>0</v>
      </c>
      <c r="AU10" s="22"/>
      <c r="AV10" s="22"/>
      <c r="AW10" s="22"/>
      <c r="AX10" s="22"/>
      <c r="AY10" s="22"/>
      <c r="AZ10" s="22"/>
      <c r="BA10" s="21">
        <f t="shared" si="11"/>
        <v>0</v>
      </c>
      <c r="BB10" s="22"/>
      <c r="BC10" s="22"/>
      <c r="BD10" s="21">
        <f t="shared" si="4"/>
        <v>0</v>
      </c>
      <c r="BE10" s="22"/>
      <c r="BF10" s="22"/>
      <c r="BG10" s="22"/>
      <c r="BH10" s="22"/>
      <c r="BI10" s="22"/>
      <c r="BJ10" s="21">
        <f t="shared" si="5"/>
        <v>0</v>
      </c>
      <c r="BK10" s="22"/>
      <c r="BL10" s="22"/>
      <c r="BM10" s="22"/>
      <c r="BN10" s="22"/>
      <c r="BO10" s="22"/>
      <c r="BP10" s="21">
        <f t="shared" si="6"/>
        <v>0</v>
      </c>
      <c r="BQ10" s="21">
        <f t="shared" si="12"/>
        <v>0</v>
      </c>
      <c r="BR10" s="20" t="str">
        <f t="shared" si="13"/>
        <v>1</v>
      </c>
      <c r="BS10" s="20" t="str">
        <f t="shared" si="7"/>
        <v>ปรับปรุง</v>
      </c>
    </row>
    <row r="11" spans="1:71" ht="21" x14ac:dyDescent="0.25">
      <c r="A11" s="1"/>
      <c r="B11" s="23">
        <v>4</v>
      </c>
      <c r="C11" s="24"/>
      <c r="D11" s="24"/>
      <c r="E11" s="23" t="str">
        <f t="shared" si="8"/>
        <v>เล็ก</v>
      </c>
      <c r="F11" s="22"/>
      <c r="G11" s="22"/>
      <c r="H11" s="22"/>
      <c r="I11" s="22"/>
      <c r="J11" s="22"/>
      <c r="K11" s="22"/>
      <c r="L11" s="22"/>
      <c r="M11" s="22"/>
      <c r="N11" s="21">
        <f t="shared" si="9"/>
        <v>0</v>
      </c>
      <c r="O11" s="22"/>
      <c r="P11" s="22"/>
      <c r="Q11" s="22"/>
      <c r="R11" s="22"/>
      <c r="S11" s="22"/>
      <c r="T11" s="21">
        <f t="shared" si="0"/>
        <v>0</v>
      </c>
      <c r="U11" s="22"/>
      <c r="V11" s="22"/>
      <c r="W11" s="22"/>
      <c r="X11" s="22"/>
      <c r="Y11" s="22"/>
      <c r="Z11" s="21">
        <f t="shared" si="1"/>
        <v>0</v>
      </c>
      <c r="AA11" s="22"/>
      <c r="AB11" s="22"/>
      <c r="AC11" s="22"/>
      <c r="AD11" s="22"/>
      <c r="AE11" s="22"/>
      <c r="AF11" s="21">
        <f t="shared" si="2"/>
        <v>0</v>
      </c>
      <c r="AG11" s="22"/>
      <c r="AH11" s="22"/>
      <c r="AI11" s="22"/>
      <c r="AJ11" s="22"/>
      <c r="AK11" s="22"/>
      <c r="AL11" s="21">
        <f t="shared" si="3"/>
        <v>0</v>
      </c>
      <c r="AM11" s="22"/>
      <c r="AN11" s="22"/>
      <c r="AO11" s="22"/>
      <c r="AP11" s="22"/>
      <c r="AQ11" s="22"/>
      <c r="AR11" s="22"/>
      <c r="AS11" s="22"/>
      <c r="AT11" s="21">
        <f t="shared" si="10"/>
        <v>0</v>
      </c>
      <c r="AU11" s="22"/>
      <c r="AV11" s="22"/>
      <c r="AW11" s="22"/>
      <c r="AX11" s="22"/>
      <c r="AY11" s="22"/>
      <c r="AZ11" s="22"/>
      <c r="BA11" s="21">
        <f t="shared" si="11"/>
        <v>0</v>
      </c>
      <c r="BB11" s="22"/>
      <c r="BC11" s="22"/>
      <c r="BD11" s="21">
        <f t="shared" si="4"/>
        <v>0</v>
      </c>
      <c r="BE11" s="22"/>
      <c r="BF11" s="22"/>
      <c r="BG11" s="22"/>
      <c r="BH11" s="22"/>
      <c r="BI11" s="22"/>
      <c r="BJ11" s="21">
        <f t="shared" si="5"/>
        <v>0</v>
      </c>
      <c r="BK11" s="22"/>
      <c r="BL11" s="22"/>
      <c r="BM11" s="22"/>
      <c r="BN11" s="22"/>
      <c r="BO11" s="22"/>
      <c r="BP11" s="21">
        <f t="shared" si="6"/>
        <v>0</v>
      </c>
      <c r="BQ11" s="21">
        <f t="shared" si="12"/>
        <v>0</v>
      </c>
      <c r="BR11" s="20" t="str">
        <f t="shared" si="13"/>
        <v>1</v>
      </c>
      <c r="BS11" s="20" t="str">
        <f t="shared" si="7"/>
        <v>ปรับปรุง</v>
      </c>
    </row>
    <row r="12" spans="1:71" ht="21" x14ac:dyDescent="0.25">
      <c r="A12" s="1"/>
      <c r="B12" s="23">
        <v>5</v>
      </c>
      <c r="C12" s="24"/>
      <c r="D12" s="24"/>
      <c r="E12" s="23" t="str">
        <f t="shared" si="8"/>
        <v>เล็ก</v>
      </c>
      <c r="F12" s="22"/>
      <c r="G12" s="22"/>
      <c r="H12" s="22"/>
      <c r="I12" s="22"/>
      <c r="J12" s="22"/>
      <c r="K12" s="22"/>
      <c r="L12" s="22"/>
      <c r="M12" s="22"/>
      <c r="N12" s="21">
        <f t="shared" si="9"/>
        <v>0</v>
      </c>
      <c r="O12" s="22"/>
      <c r="P12" s="22"/>
      <c r="Q12" s="22"/>
      <c r="R12" s="22"/>
      <c r="S12" s="22"/>
      <c r="T12" s="21">
        <f t="shared" si="0"/>
        <v>0</v>
      </c>
      <c r="U12" s="22"/>
      <c r="V12" s="22"/>
      <c r="W12" s="22"/>
      <c r="X12" s="22"/>
      <c r="Y12" s="22"/>
      <c r="Z12" s="21">
        <f t="shared" si="1"/>
        <v>0</v>
      </c>
      <c r="AA12" s="22"/>
      <c r="AB12" s="22"/>
      <c r="AC12" s="22"/>
      <c r="AD12" s="22"/>
      <c r="AE12" s="22"/>
      <c r="AF12" s="21">
        <f t="shared" si="2"/>
        <v>0</v>
      </c>
      <c r="AG12" s="22"/>
      <c r="AH12" s="22"/>
      <c r="AI12" s="22"/>
      <c r="AJ12" s="22"/>
      <c r="AK12" s="22"/>
      <c r="AL12" s="21">
        <f t="shared" si="3"/>
        <v>0</v>
      </c>
      <c r="AM12" s="22"/>
      <c r="AN12" s="22"/>
      <c r="AO12" s="22"/>
      <c r="AP12" s="22"/>
      <c r="AQ12" s="22"/>
      <c r="AR12" s="22"/>
      <c r="AS12" s="22"/>
      <c r="AT12" s="21">
        <f t="shared" si="10"/>
        <v>0</v>
      </c>
      <c r="AU12" s="22"/>
      <c r="AV12" s="22"/>
      <c r="AW12" s="22"/>
      <c r="AX12" s="22"/>
      <c r="AY12" s="22"/>
      <c r="AZ12" s="22"/>
      <c r="BA12" s="21">
        <f t="shared" si="11"/>
        <v>0</v>
      </c>
      <c r="BB12" s="22"/>
      <c r="BC12" s="22"/>
      <c r="BD12" s="21">
        <f t="shared" si="4"/>
        <v>0</v>
      </c>
      <c r="BE12" s="22"/>
      <c r="BF12" s="22"/>
      <c r="BG12" s="22"/>
      <c r="BH12" s="22"/>
      <c r="BI12" s="22"/>
      <c r="BJ12" s="21">
        <f t="shared" si="5"/>
        <v>0</v>
      </c>
      <c r="BK12" s="22"/>
      <c r="BL12" s="22"/>
      <c r="BM12" s="22"/>
      <c r="BN12" s="22"/>
      <c r="BO12" s="22"/>
      <c r="BP12" s="21">
        <f t="shared" si="6"/>
        <v>0</v>
      </c>
      <c r="BQ12" s="21">
        <f t="shared" si="12"/>
        <v>0</v>
      </c>
      <c r="BR12" s="20" t="str">
        <f t="shared" si="13"/>
        <v>1</v>
      </c>
      <c r="BS12" s="20" t="str">
        <f t="shared" si="7"/>
        <v>ปรับปรุง</v>
      </c>
    </row>
    <row r="13" spans="1:71" ht="21" x14ac:dyDescent="0.25">
      <c r="A13" s="1"/>
      <c r="B13" s="23">
        <v>6</v>
      </c>
      <c r="C13" s="24"/>
      <c r="D13" s="24"/>
      <c r="E13" s="23" t="str">
        <f t="shared" si="8"/>
        <v>เล็ก</v>
      </c>
      <c r="F13" s="22"/>
      <c r="G13" s="22"/>
      <c r="H13" s="22"/>
      <c r="I13" s="22"/>
      <c r="J13" s="22"/>
      <c r="K13" s="22"/>
      <c r="L13" s="22"/>
      <c r="M13" s="22"/>
      <c r="N13" s="21">
        <f t="shared" si="9"/>
        <v>0</v>
      </c>
      <c r="O13" s="22"/>
      <c r="P13" s="22"/>
      <c r="Q13" s="22"/>
      <c r="R13" s="22"/>
      <c r="S13" s="22"/>
      <c r="T13" s="21">
        <f t="shared" si="0"/>
        <v>0</v>
      </c>
      <c r="U13" s="22"/>
      <c r="V13" s="22"/>
      <c r="W13" s="22"/>
      <c r="X13" s="22"/>
      <c r="Y13" s="22"/>
      <c r="Z13" s="21">
        <f t="shared" si="1"/>
        <v>0</v>
      </c>
      <c r="AA13" s="22"/>
      <c r="AB13" s="22"/>
      <c r="AC13" s="22"/>
      <c r="AD13" s="22"/>
      <c r="AE13" s="22"/>
      <c r="AF13" s="21">
        <f t="shared" si="2"/>
        <v>0</v>
      </c>
      <c r="AG13" s="22"/>
      <c r="AH13" s="22"/>
      <c r="AI13" s="22"/>
      <c r="AJ13" s="22"/>
      <c r="AK13" s="22"/>
      <c r="AL13" s="21">
        <f t="shared" si="3"/>
        <v>0</v>
      </c>
      <c r="AM13" s="22"/>
      <c r="AN13" s="22"/>
      <c r="AO13" s="22"/>
      <c r="AP13" s="22"/>
      <c r="AQ13" s="22"/>
      <c r="AR13" s="22"/>
      <c r="AS13" s="22"/>
      <c r="AT13" s="21">
        <f t="shared" si="10"/>
        <v>0</v>
      </c>
      <c r="AU13" s="22"/>
      <c r="AV13" s="22"/>
      <c r="AW13" s="22"/>
      <c r="AX13" s="22"/>
      <c r="AY13" s="22"/>
      <c r="AZ13" s="22"/>
      <c r="BA13" s="21">
        <f t="shared" si="11"/>
        <v>0</v>
      </c>
      <c r="BB13" s="22"/>
      <c r="BC13" s="22"/>
      <c r="BD13" s="21">
        <f t="shared" si="4"/>
        <v>0</v>
      </c>
      <c r="BE13" s="22"/>
      <c r="BF13" s="22"/>
      <c r="BG13" s="22"/>
      <c r="BH13" s="22"/>
      <c r="BI13" s="22"/>
      <c r="BJ13" s="21">
        <f t="shared" si="5"/>
        <v>0</v>
      </c>
      <c r="BK13" s="22"/>
      <c r="BL13" s="22"/>
      <c r="BM13" s="22"/>
      <c r="BN13" s="22"/>
      <c r="BO13" s="22"/>
      <c r="BP13" s="21">
        <f t="shared" si="6"/>
        <v>0</v>
      </c>
      <c r="BQ13" s="21">
        <f t="shared" si="12"/>
        <v>0</v>
      </c>
      <c r="BR13" s="20" t="str">
        <f t="shared" si="13"/>
        <v>1</v>
      </c>
      <c r="BS13" s="20" t="str">
        <f t="shared" si="7"/>
        <v>ปรับปรุง</v>
      </c>
    </row>
    <row r="14" spans="1:71" ht="21" x14ac:dyDescent="0.25">
      <c r="A14" s="1"/>
      <c r="B14" s="23">
        <v>7</v>
      </c>
      <c r="C14" s="24"/>
      <c r="D14" s="24"/>
      <c r="E14" s="23" t="str">
        <f t="shared" si="8"/>
        <v>เล็ก</v>
      </c>
      <c r="F14" s="22"/>
      <c r="G14" s="22"/>
      <c r="H14" s="22"/>
      <c r="I14" s="22"/>
      <c r="J14" s="22"/>
      <c r="K14" s="22"/>
      <c r="L14" s="22"/>
      <c r="M14" s="22"/>
      <c r="N14" s="21">
        <f t="shared" si="9"/>
        <v>0</v>
      </c>
      <c r="O14" s="22"/>
      <c r="P14" s="22"/>
      <c r="Q14" s="22"/>
      <c r="R14" s="22"/>
      <c r="S14" s="22"/>
      <c r="T14" s="21">
        <f t="shared" si="0"/>
        <v>0</v>
      </c>
      <c r="U14" s="22"/>
      <c r="V14" s="22"/>
      <c r="W14" s="22"/>
      <c r="X14" s="22"/>
      <c r="Y14" s="22"/>
      <c r="Z14" s="21">
        <f t="shared" si="1"/>
        <v>0</v>
      </c>
      <c r="AA14" s="22"/>
      <c r="AB14" s="22"/>
      <c r="AC14" s="22"/>
      <c r="AD14" s="22"/>
      <c r="AE14" s="22"/>
      <c r="AF14" s="21">
        <f t="shared" si="2"/>
        <v>0</v>
      </c>
      <c r="AG14" s="22"/>
      <c r="AH14" s="22"/>
      <c r="AI14" s="22"/>
      <c r="AJ14" s="22"/>
      <c r="AK14" s="22"/>
      <c r="AL14" s="21">
        <f t="shared" si="3"/>
        <v>0</v>
      </c>
      <c r="AM14" s="22"/>
      <c r="AN14" s="22"/>
      <c r="AO14" s="22"/>
      <c r="AP14" s="22"/>
      <c r="AQ14" s="22"/>
      <c r="AR14" s="22"/>
      <c r="AS14" s="22"/>
      <c r="AT14" s="21">
        <f t="shared" si="10"/>
        <v>0</v>
      </c>
      <c r="AU14" s="22"/>
      <c r="AV14" s="22"/>
      <c r="AW14" s="22"/>
      <c r="AX14" s="22"/>
      <c r="AY14" s="22"/>
      <c r="AZ14" s="22"/>
      <c r="BA14" s="21">
        <f t="shared" si="11"/>
        <v>0</v>
      </c>
      <c r="BB14" s="22"/>
      <c r="BC14" s="22"/>
      <c r="BD14" s="21">
        <f t="shared" si="4"/>
        <v>0</v>
      </c>
      <c r="BE14" s="22"/>
      <c r="BF14" s="22"/>
      <c r="BG14" s="22"/>
      <c r="BH14" s="22"/>
      <c r="BI14" s="22"/>
      <c r="BJ14" s="21">
        <f t="shared" si="5"/>
        <v>0</v>
      </c>
      <c r="BK14" s="22"/>
      <c r="BL14" s="22"/>
      <c r="BM14" s="22"/>
      <c r="BN14" s="22"/>
      <c r="BO14" s="22"/>
      <c r="BP14" s="21">
        <f t="shared" si="6"/>
        <v>0</v>
      </c>
      <c r="BQ14" s="21">
        <f t="shared" si="12"/>
        <v>0</v>
      </c>
      <c r="BR14" s="20" t="str">
        <f t="shared" si="13"/>
        <v>1</v>
      </c>
      <c r="BS14" s="20" t="str">
        <f t="shared" si="7"/>
        <v>ปรับปรุง</v>
      </c>
    </row>
    <row r="15" spans="1:71" ht="21" x14ac:dyDescent="0.25">
      <c r="A15" s="1"/>
      <c r="B15" s="23">
        <v>8</v>
      </c>
      <c r="C15" s="24"/>
      <c r="D15" s="24"/>
      <c r="E15" s="23" t="str">
        <f t="shared" si="8"/>
        <v>เล็ก</v>
      </c>
      <c r="F15" s="22"/>
      <c r="G15" s="22"/>
      <c r="H15" s="22"/>
      <c r="I15" s="22"/>
      <c r="J15" s="22"/>
      <c r="K15" s="22"/>
      <c r="L15" s="22"/>
      <c r="M15" s="22"/>
      <c r="N15" s="21">
        <f t="shared" si="9"/>
        <v>0</v>
      </c>
      <c r="O15" s="22"/>
      <c r="P15" s="22"/>
      <c r="Q15" s="22"/>
      <c r="R15" s="22"/>
      <c r="S15" s="22"/>
      <c r="T15" s="21">
        <f t="shared" si="0"/>
        <v>0</v>
      </c>
      <c r="U15" s="22"/>
      <c r="V15" s="22"/>
      <c r="W15" s="22"/>
      <c r="X15" s="22"/>
      <c r="Y15" s="22"/>
      <c r="Z15" s="21">
        <f t="shared" si="1"/>
        <v>0</v>
      </c>
      <c r="AA15" s="22"/>
      <c r="AB15" s="22"/>
      <c r="AC15" s="22"/>
      <c r="AD15" s="22"/>
      <c r="AE15" s="22"/>
      <c r="AF15" s="21">
        <f t="shared" si="2"/>
        <v>0</v>
      </c>
      <c r="AG15" s="22"/>
      <c r="AH15" s="22"/>
      <c r="AI15" s="22"/>
      <c r="AJ15" s="22"/>
      <c r="AK15" s="22"/>
      <c r="AL15" s="21">
        <f t="shared" si="3"/>
        <v>0</v>
      </c>
      <c r="AM15" s="22"/>
      <c r="AN15" s="22"/>
      <c r="AO15" s="22"/>
      <c r="AP15" s="22"/>
      <c r="AQ15" s="22"/>
      <c r="AR15" s="22"/>
      <c r="AS15" s="22"/>
      <c r="AT15" s="21">
        <f t="shared" si="10"/>
        <v>0</v>
      </c>
      <c r="AU15" s="22"/>
      <c r="AV15" s="22"/>
      <c r="AW15" s="22"/>
      <c r="AX15" s="22"/>
      <c r="AY15" s="22"/>
      <c r="AZ15" s="22"/>
      <c r="BA15" s="21">
        <f t="shared" si="11"/>
        <v>0</v>
      </c>
      <c r="BB15" s="22"/>
      <c r="BC15" s="22"/>
      <c r="BD15" s="21">
        <f t="shared" si="4"/>
        <v>0</v>
      </c>
      <c r="BE15" s="22"/>
      <c r="BF15" s="22"/>
      <c r="BG15" s="22"/>
      <c r="BH15" s="22"/>
      <c r="BI15" s="22"/>
      <c r="BJ15" s="21">
        <f t="shared" si="5"/>
        <v>0</v>
      </c>
      <c r="BK15" s="22"/>
      <c r="BL15" s="22"/>
      <c r="BM15" s="22"/>
      <c r="BN15" s="22"/>
      <c r="BO15" s="22"/>
      <c r="BP15" s="21">
        <f t="shared" si="6"/>
        <v>0</v>
      </c>
      <c r="BQ15" s="21">
        <f t="shared" si="12"/>
        <v>0</v>
      </c>
      <c r="BR15" s="20" t="str">
        <f t="shared" si="13"/>
        <v>1</v>
      </c>
      <c r="BS15" s="20" t="str">
        <f t="shared" si="7"/>
        <v>ปรับปรุง</v>
      </c>
    </row>
    <row r="16" spans="1:71" ht="21" x14ac:dyDescent="0.25">
      <c r="A16" s="1"/>
      <c r="B16" s="23">
        <v>9</v>
      </c>
      <c r="C16" s="24"/>
      <c r="D16" s="24"/>
      <c r="E16" s="23" t="str">
        <f t="shared" si="8"/>
        <v>เล็ก</v>
      </c>
      <c r="F16" s="22"/>
      <c r="G16" s="22"/>
      <c r="H16" s="22"/>
      <c r="I16" s="22"/>
      <c r="J16" s="22"/>
      <c r="K16" s="22"/>
      <c r="L16" s="22"/>
      <c r="M16" s="22"/>
      <c r="N16" s="21">
        <f t="shared" si="9"/>
        <v>0</v>
      </c>
      <c r="O16" s="22"/>
      <c r="P16" s="22"/>
      <c r="Q16" s="22"/>
      <c r="R16" s="22"/>
      <c r="S16" s="22"/>
      <c r="T16" s="21">
        <f t="shared" si="0"/>
        <v>0</v>
      </c>
      <c r="U16" s="22"/>
      <c r="V16" s="22"/>
      <c r="W16" s="22"/>
      <c r="X16" s="22"/>
      <c r="Y16" s="22"/>
      <c r="Z16" s="21">
        <f t="shared" si="1"/>
        <v>0</v>
      </c>
      <c r="AA16" s="22"/>
      <c r="AB16" s="22"/>
      <c r="AC16" s="22"/>
      <c r="AD16" s="22"/>
      <c r="AE16" s="22"/>
      <c r="AF16" s="21">
        <f t="shared" si="2"/>
        <v>0</v>
      </c>
      <c r="AG16" s="22"/>
      <c r="AH16" s="22"/>
      <c r="AI16" s="22"/>
      <c r="AJ16" s="22"/>
      <c r="AK16" s="22"/>
      <c r="AL16" s="21">
        <f t="shared" si="3"/>
        <v>0</v>
      </c>
      <c r="AM16" s="22"/>
      <c r="AN16" s="22"/>
      <c r="AO16" s="22"/>
      <c r="AP16" s="22"/>
      <c r="AQ16" s="22"/>
      <c r="AR16" s="22"/>
      <c r="AS16" s="22"/>
      <c r="AT16" s="21">
        <f t="shared" si="10"/>
        <v>0</v>
      </c>
      <c r="AU16" s="22"/>
      <c r="AV16" s="22"/>
      <c r="AW16" s="22"/>
      <c r="AX16" s="22"/>
      <c r="AY16" s="22"/>
      <c r="AZ16" s="22"/>
      <c r="BA16" s="21">
        <f t="shared" si="11"/>
        <v>0</v>
      </c>
      <c r="BB16" s="22"/>
      <c r="BC16" s="22"/>
      <c r="BD16" s="21">
        <f t="shared" si="4"/>
        <v>0</v>
      </c>
      <c r="BE16" s="22"/>
      <c r="BF16" s="22"/>
      <c r="BG16" s="22"/>
      <c r="BH16" s="22"/>
      <c r="BI16" s="22"/>
      <c r="BJ16" s="21">
        <f t="shared" si="5"/>
        <v>0</v>
      </c>
      <c r="BK16" s="22"/>
      <c r="BL16" s="22"/>
      <c r="BM16" s="22"/>
      <c r="BN16" s="22"/>
      <c r="BO16" s="22"/>
      <c r="BP16" s="21">
        <f t="shared" si="6"/>
        <v>0</v>
      </c>
      <c r="BQ16" s="21">
        <f t="shared" si="12"/>
        <v>0</v>
      </c>
      <c r="BR16" s="20" t="str">
        <f t="shared" si="13"/>
        <v>1</v>
      </c>
      <c r="BS16" s="20" t="str">
        <f t="shared" si="7"/>
        <v>ปรับปรุง</v>
      </c>
    </row>
    <row r="17" spans="1:71" ht="21" x14ac:dyDescent="0.25">
      <c r="A17" s="1"/>
      <c r="B17" s="23">
        <v>10</v>
      </c>
      <c r="C17" s="24"/>
      <c r="D17" s="24"/>
      <c r="E17" s="23" t="str">
        <f t="shared" si="8"/>
        <v>เล็ก</v>
      </c>
      <c r="F17" s="22"/>
      <c r="G17" s="22"/>
      <c r="H17" s="22"/>
      <c r="I17" s="22"/>
      <c r="J17" s="22"/>
      <c r="K17" s="22"/>
      <c r="L17" s="22"/>
      <c r="M17" s="22"/>
      <c r="N17" s="21">
        <f t="shared" si="9"/>
        <v>0</v>
      </c>
      <c r="O17" s="22"/>
      <c r="P17" s="22"/>
      <c r="Q17" s="22"/>
      <c r="R17" s="22"/>
      <c r="S17" s="22"/>
      <c r="T17" s="21">
        <f t="shared" si="0"/>
        <v>0</v>
      </c>
      <c r="U17" s="22"/>
      <c r="V17" s="22"/>
      <c r="W17" s="22"/>
      <c r="X17" s="22"/>
      <c r="Y17" s="22"/>
      <c r="Z17" s="21">
        <f t="shared" si="1"/>
        <v>0</v>
      </c>
      <c r="AA17" s="22"/>
      <c r="AB17" s="22"/>
      <c r="AC17" s="22"/>
      <c r="AD17" s="22"/>
      <c r="AE17" s="22"/>
      <c r="AF17" s="21">
        <f t="shared" si="2"/>
        <v>0</v>
      </c>
      <c r="AG17" s="22"/>
      <c r="AH17" s="22"/>
      <c r="AI17" s="22"/>
      <c r="AJ17" s="22"/>
      <c r="AK17" s="22"/>
      <c r="AL17" s="21">
        <f t="shared" si="3"/>
        <v>0</v>
      </c>
      <c r="AM17" s="22"/>
      <c r="AN17" s="22"/>
      <c r="AO17" s="22"/>
      <c r="AP17" s="22"/>
      <c r="AQ17" s="22"/>
      <c r="AR17" s="22"/>
      <c r="AS17" s="22"/>
      <c r="AT17" s="21">
        <f t="shared" si="10"/>
        <v>0</v>
      </c>
      <c r="AU17" s="22"/>
      <c r="AV17" s="22"/>
      <c r="AW17" s="22"/>
      <c r="AX17" s="22"/>
      <c r="AY17" s="22"/>
      <c r="AZ17" s="22"/>
      <c r="BA17" s="21">
        <f t="shared" si="11"/>
        <v>0</v>
      </c>
      <c r="BB17" s="22"/>
      <c r="BC17" s="22"/>
      <c r="BD17" s="21">
        <f t="shared" si="4"/>
        <v>0</v>
      </c>
      <c r="BE17" s="22"/>
      <c r="BF17" s="22"/>
      <c r="BG17" s="22"/>
      <c r="BH17" s="22"/>
      <c r="BI17" s="22"/>
      <c r="BJ17" s="21">
        <f t="shared" si="5"/>
        <v>0</v>
      </c>
      <c r="BK17" s="22"/>
      <c r="BL17" s="22"/>
      <c r="BM17" s="22"/>
      <c r="BN17" s="22"/>
      <c r="BO17" s="22"/>
      <c r="BP17" s="21">
        <f t="shared" si="6"/>
        <v>0</v>
      </c>
      <c r="BQ17" s="21">
        <f t="shared" si="12"/>
        <v>0</v>
      </c>
      <c r="BR17" s="20" t="str">
        <f t="shared" si="13"/>
        <v>1</v>
      </c>
      <c r="BS17" s="20" t="str">
        <f t="shared" si="7"/>
        <v>ปรับปรุง</v>
      </c>
    </row>
    <row r="18" spans="1:71" ht="21" x14ac:dyDescent="0.25">
      <c r="A18" s="1"/>
      <c r="B18" s="19"/>
      <c r="C18" s="18"/>
      <c r="D18" s="18"/>
      <c r="E18" s="17"/>
      <c r="F18" s="16"/>
      <c r="G18" s="16"/>
      <c r="H18" s="16"/>
      <c r="I18" s="16"/>
      <c r="J18" s="16"/>
      <c r="K18" s="16"/>
      <c r="L18" s="16"/>
      <c r="M18" s="16"/>
      <c r="N18" s="15"/>
      <c r="O18" s="16"/>
      <c r="P18" s="16"/>
      <c r="Q18" s="16"/>
      <c r="R18" s="16"/>
      <c r="S18" s="16"/>
      <c r="T18" s="15"/>
      <c r="U18" s="16"/>
      <c r="V18" s="16"/>
      <c r="W18" s="16"/>
      <c r="X18" s="16"/>
      <c r="Y18" s="16"/>
      <c r="Z18" s="15"/>
      <c r="AA18" s="16"/>
      <c r="AB18" s="16"/>
      <c r="AC18" s="16"/>
      <c r="AD18" s="16"/>
      <c r="AE18" s="16"/>
      <c r="AF18" s="15"/>
      <c r="AG18" s="16"/>
      <c r="AH18" s="16"/>
      <c r="AI18" s="16"/>
      <c r="AJ18" s="16"/>
      <c r="AK18" s="16"/>
      <c r="AL18" s="15"/>
      <c r="AM18" s="16"/>
      <c r="AN18" s="16"/>
      <c r="AO18" s="16"/>
      <c r="AP18" s="16"/>
      <c r="AQ18" s="16"/>
      <c r="AR18" s="16"/>
      <c r="AS18" s="16"/>
      <c r="AT18" s="15"/>
      <c r="AU18" s="16"/>
      <c r="AV18" s="16"/>
      <c r="AW18" s="16"/>
      <c r="AX18" s="16"/>
      <c r="AY18" s="16"/>
      <c r="AZ18" s="16"/>
      <c r="BA18" s="15"/>
      <c r="BB18" s="16"/>
      <c r="BC18" s="16"/>
      <c r="BD18" s="15"/>
      <c r="BE18" s="16"/>
      <c r="BF18" s="16"/>
      <c r="BG18" s="16"/>
      <c r="BH18" s="16"/>
      <c r="BI18" s="16"/>
      <c r="BJ18" s="15"/>
      <c r="BK18" s="16"/>
      <c r="BL18" s="16"/>
      <c r="BM18" s="16"/>
      <c r="BN18" s="16"/>
      <c r="BO18" s="16"/>
      <c r="BP18" s="15"/>
      <c r="BQ18" s="15"/>
      <c r="BR18" s="14"/>
      <c r="BS18" s="14"/>
    </row>
    <row r="19" spans="1:71" ht="21" x14ac:dyDescent="0.25">
      <c r="A19" s="1"/>
      <c r="B19" s="13"/>
      <c r="C19" s="8"/>
      <c r="D19" s="8"/>
      <c r="E19" s="13"/>
      <c r="F19" s="12"/>
      <c r="G19" s="12"/>
      <c r="H19" s="12"/>
      <c r="I19" s="12"/>
      <c r="J19" s="12"/>
      <c r="K19" s="12"/>
      <c r="L19" s="12"/>
      <c r="M19" s="12"/>
      <c r="N19" s="11"/>
      <c r="O19" s="12"/>
      <c r="P19" s="12"/>
      <c r="Q19" s="12"/>
      <c r="R19" s="12"/>
      <c r="S19" s="12"/>
      <c r="T19" s="11"/>
      <c r="U19" s="12"/>
      <c r="V19" s="12"/>
      <c r="W19" s="12"/>
      <c r="X19" s="12"/>
      <c r="Y19" s="12"/>
      <c r="Z19" s="11"/>
      <c r="AA19" s="12"/>
      <c r="AB19" s="12"/>
      <c r="AC19" s="12"/>
      <c r="AD19" s="12"/>
      <c r="AE19" s="12"/>
      <c r="AF19" s="11"/>
      <c r="AG19" s="12"/>
      <c r="AH19" s="12"/>
      <c r="AI19" s="12"/>
      <c r="AJ19" s="12"/>
      <c r="AK19" s="12"/>
      <c r="AL19" s="11"/>
      <c r="AM19" s="12"/>
      <c r="AN19" s="12"/>
      <c r="AO19" s="12"/>
      <c r="AP19" s="12"/>
      <c r="AQ19" s="12"/>
      <c r="AR19" s="12"/>
      <c r="AS19" s="12"/>
      <c r="AT19" s="11"/>
      <c r="AU19" s="12"/>
      <c r="AV19" s="12"/>
      <c r="AW19" s="12"/>
      <c r="AX19" s="12"/>
      <c r="AY19" s="12"/>
      <c r="AZ19" s="12"/>
      <c r="BA19" s="11"/>
      <c r="BB19" s="12"/>
      <c r="BC19" s="12"/>
      <c r="BD19" s="11"/>
      <c r="BE19" s="12"/>
      <c r="BF19" s="12"/>
      <c r="BG19" s="12"/>
      <c r="BH19" s="12"/>
      <c r="BI19" s="12"/>
      <c r="BJ19" s="11"/>
      <c r="BK19" s="12"/>
      <c r="BL19" s="12"/>
      <c r="BM19" s="12"/>
      <c r="BN19" s="12"/>
      <c r="BO19" s="12"/>
      <c r="BP19" s="11"/>
      <c r="BQ19" s="11"/>
      <c r="BR19" s="10"/>
      <c r="BS19" s="10"/>
    </row>
    <row r="20" spans="1:71" ht="30.6" x14ac:dyDescent="0.55000000000000004">
      <c r="A20" s="7"/>
      <c r="B20" s="9"/>
      <c r="C20" s="40" t="s">
        <v>13</v>
      </c>
      <c r="D20" s="41"/>
      <c r="E20" s="42"/>
      <c r="F20" s="43"/>
      <c r="G20" s="44"/>
      <c r="H20" s="45"/>
      <c r="I20" s="46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</row>
    <row r="21" spans="1:71" ht="35.25" customHeight="1" x14ac:dyDescent="0.8">
      <c r="A21" s="2"/>
      <c r="B21" s="3"/>
      <c r="C21" s="41" t="s">
        <v>12</v>
      </c>
      <c r="D21" s="41"/>
      <c r="E21" s="42"/>
      <c r="F21" s="43"/>
      <c r="G21" s="44"/>
      <c r="H21" s="42"/>
      <c r="I21" s="42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8" t="s">
        <v>4</v>
      </c>
      <c r="V21" s="41"/>
      <c r="W21" s="41"/>
      <c r="X21" s="41"/>
      <c r="Y21" s="49">
        <f>COUNT(B8:B17)</f>
        <v>10</v>
      </c>
      <c r="Z21" s="41"/>
      <c r="AA21" s="41"/>
      <c r="AB21" s="56" t="s">
        <v>3</v>
      </c>
      <c r="AC21" s="56"/>
      <c r="AD21" s="47"/>
      <c r="AE21" s="47"/>
      <c r="AF21" s="47"/>
      <c r="AG21" s="47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</row>
    <row r="22" spans="1:71" ht="35.25" customHeight="1" x14ac:dyDescent="0.8">
      <c r="A22" s="2"/>
      <c r="B22" s="3"/>
      <c r="C22" s="41" t="s">
        <v>11</v>
      </c>
      <c r="D22" s="41"/>
      <c r="E22" s="42"/>
      <c r="F22" s="43"/>
      <c r="G22" s="44"/>
      <c r="H22" s="42"/>
      <c r="I22" s="42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8" t="s">
        <v>4</v>
      </c>
      <c r="V22" s="41"/>
      <c r="W22" s="41"/>
      <c r="X22" s="41"/>
      <c r="Y22" s="49">
        <f>COUNT(B8:B17)</f>
        <v>10</v>
      </c>
      <c r="Z22" s="41"/>
      <c r="AA22" s="41"/>
      <c r="AB22" s="56" t="s">
        <v>3</v>
      </c>
      <c r="AC22" s="56"/>
      <c r="AD22" s="47"/>
      <c r="AE22" s="47"/>
      <c r="AF22" s="47"/>
      <c r="AG22" s="47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</row>
    <row r="23" spans="1:71" ht="35.25" customHeight="1" x14ac:dyDescent="0.8">
      <c r="A23" s="2"/>
      <c r="B23" s="3"/>
      <c r="C23" s="41" t="s">
        <v>10</v>
      </c>
      <c r="D23" s="41"/>
      <c r="E23" s="42"/>
      <c r="F23" s="43"/>
      <c r="G23" s="44"/>
      <c r="H23" s="42"/>
      <c r="I23" s="42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5"/>
      <c r="V23" s="41"/>
      <c r="W23" s="41"/>
      <c r="X23" s="41"/>
      <c r="Y23" s="42"/>
      <c r="Z23" s="41"/>
      <c r="AA23" s="41"/>
      <c r="AB23" s="56" t="s">
        <v>3</v>
      </c>
      <c r="AC23" s="56"/>
      <c r="AD23" s="47"/>
      <c r="AE23" s="47"/>
      <c r="AF23" s="47"/>
      <c r="AG23" s="47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</row>
    <row r="24" spans="1:71" ht="35.25" customHeight="1" x14ac:dyDescent="0.8">
      <c r="A24" s="2"/>
      <c r="B24" s="3"/>
      <c r="C24" s="41"/>
      <c r="D24" s="41" t="s">
        <v>9</v>
      </c>
      <c r="E24" s="42"/>
      <c r="F24" s="42"/>
      <c r="G24" s="44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8" t="s">
        <v>4</v>
      </c>
      <c r="V24" s="41"/>
      <c r="W24" s="41"/>
      <c r="X24" s="41"/>
      <c r="Y24" s="49">
        <f>COUNTIF(BS8:BS17,"ดีมาก")</f>
        <v>0</v>
      </c>
      <c r="Z24" s="41"/>
      <c r="AA24" s="41"/>
      <c r="AB24" s="56" t="s">
        <v>3</v>
      </c>
      <c r="AC24" s="56"/>
      <c r="AD24" s="47"/>
      <c r="AE24" s="47"/>
      <c r="AF24" s="47"/>
      <c r="AG24" s="47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</row>
    <row r="25" spans="1:71" ht="35.25" customHeight="1" x14ac:dyDescent="0.8">
      <c r="A25" s="2"/>
      <c r="B25" s="3"/>
      <c r="C25" s="41"/>
      <c r="D25" s="41" t="s">
        <v>8</v>
      </c>
      <c r="E25" s="42"/>
      <c r="F25" s="42"/>
      <c r="G25" s="44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8" t="s">
        <v>4</v>
      </c>
      <c r="V25" s="41"/>
      <c r="W25" s="41"/>
      <c r="X25" s="41"/>
      <c r="Y25" s="49">
        <f>COUNTIF(BS8:BS17,"ดี")</f>
        <v>0</v>
      </c>
      <c r="Z25" s="41"/>
      <c r="AA25" s="41"/>
      <c r="AB25" s="56" t="s">
        <v>3</v>
      </c>
      <c r="AC25" s="56"/>
      <c r="AD25" s="47"/>
      <c r="AE25" s="47"/>
      <c r="AF25" s="47"/>
      <c r="AG25" s="47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</row>
    <row r="26" spans="1:71" ht="35.25" customHeight="1" x14ac:dyDescent="0.8">
      <c r="A26" s="2"/>
      <c r="B26" s="3"/>
      <c r="C26" s="41"/>
      <c r="D26" s="41" t="s">
        <v>7</v>
      </c>
      <c r="E26" s="42"/>
      <c r="F26" s="42"/>
      <c r="G26" s="44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8" t="s">
        <v>4</v>
      </c>
      <c r="V26" s="41"/>
      <c r="W26" s="41"/>
      <c r="X26" s="41"/>
      <c r="Y26" s="49">
        <f>COUNTIF(BS8:BS17,"พอใช้")</f>
        <v>0</v>
      </c>
      <c r="Z26" s="41"/>
      <c r="AA26" s="41"/>
      <c r="AB26" s="56" t="s">
        <v>3</v>
      </c>
      <c r="AC26" s="56"/>
      <c r="AD26" s="47"/>
      <c r="AE26" s="47"/>
      <c r="AF26" s="47"/>
      <c r="AG26" s="47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</row>
    <row r="27" spans="1:71" ht="35.25" customHeight="1" x14ac:dyDescent="0.8">
      <c r="A27" s="2"/>
      <c r="B27" s="3"/>
      <c r="C27" s="41"/>
      <c r="D27" s="41" t="s">
        <v>6</v>
      </c>
      <c r="E27" s="42"/>
      <c r="F27" s="42"/>
      <c r="G27" s="44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8" t="s">
        <v>4</v>
      </c>
      <c r="V27" s="41"/>
      <c r="W27" s="41"/>
      <c r="X27" s="41"/>
      <c r="Y27" s="49">
        <f>COUNTIF(BS8:BS17,"ปรับปรุง")</f>
        <v>10</v>
      </c>
      <c r="Z27" s="41"/>
      <c r="AA27" s="41"/>
      <c r="AB27" s="56" t="s">
        <v>3</v>
      </c>
      <c r="AC27" s="56"/>
      <c r="AD27" s="47"/>
      <c r="AE27" s="47"/>
      <c r="AF27" s="47"/>
      <c r="AG27" s="47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</row>
    <row r="28" spans="1:71" ht="35.25" customHeight="1" x14ac:dyDescent="0.8">
      <c r="A28" s="2"/>
      <c r="B28" s="3"/>
      <c r="C28" s="41" t="s">
        <v>5</v>
      </c>
      <c r="D28" s="41"/>
      <c r="E28" s="42"/>
      <c r="F28" s="43"/>
      <c r="G28" s="44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8" t="s">
        <v>4</v>
      </c>
      <c r="V28" s="41"/>
      <c r="W28" s="41"/>
      <c r="X28" s="41"/>
      <c r="Y28" s="50"/>
      <c r="Z28" s="41"/>
      <c r="AA28" s="41"/>
      <c r="AB28" s="56" t="s">
        <v>3</v>
      </c>
      <c r="AC28" s="56"/>
      <c r="AD28" s="47"/>
      <c r="AE28" s="47"/>
      <c r="AF28" s="47"/>
      <c r="AG28" s="47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</row>
    <row r="29" spans="1:71" ht="35.25" customHeight="1" x14ac:dyDescent="0.8">
      <c r="A29" s="2"/>
      <c r="B29" s="3"/>
      <c r="C29" s="51"/>
      <c r="D29" s="41" t="s">
        <v>2</v>
      </c>
      <c r="E29" s="41"/>
      <c r="F29" s="43"/>
      <c r="G29" s="44"/>
      <c r="H29" s="45"/>
      <c r="I29" s="46"/>
      <c r="J29" s="41"/>
      <c r="K29" s="41"/>
      <c r="L29" s="41"/>
      <c r="M29" s="41"/>
      <c r="N29" s="41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</row>
    <row r="30" spans="1:71" ht="35.25" customHeight="1" x14ac:dyDescent="0.8">
      <c r="A30" s="2"/>
      <c r="B30" s="2"/>
      <c r="C30" s="41"/>
      <c r="D30" s="41" t="s">
        <v>1</v>
      </c>
      <c r="E30" s="41"/>
      <c r="F30" s="43"/>
      <c r="G30" s="52"/>
      <c r="H30" s="52"/>
      <c r="I30" s="52"/>
      <c r="J30" s="52"/>
      <c r="K30" s="52"/>
      <c r="L30" s="52"/>
      <c r="M30" s="53"/>
      <c r="N30" s="52"/>
      <c r="O30" s="42"/>
      <c r="P30" s="42"/>
      <c r="Q30" s="42"/>
      <c r="R30" s="42"/>
      <c r="S30" s="54"/>
      <c r="T30" s="42"/>
      <c r="U30" s="42"/>
      <c r="V30" s="42"/>
      <c r="W30" s="42"/>
      <c r="X30" s="42"/>
      <c r="Y30" s="54"/>
      <c r="Z30" s="42"/>
      <c r="AA30" s="42"/>
      <c r="AB30" s="42"/>
      <c r="AC30" s="42"/>
      <c r="AD30" s="42"/>
      <c r="AE30" s="54"/>
      <c r="AF30" s="42"/>
      <c r="AG30" s="42"/>
      <c r="AH30" s="4"/>
      <c r="AI30" s="4"/>
      <c r="AJ30" s="4"/>
      <c r="AK30" s="5"/>
      <c r="AL30" s="4"/>
      <c r="AM30" s="4"/>
      <c r="AN30" s="4"/>
      <c r="AO30" s="4"/>
      <c r="AP30" s="4"/>
      <c r="AQ30" s="4"/>
      <c r="AR30" s="4"/>
      <c r="AS30" s="5"/>
      <c r="AT30" s="4"/>
      <c r="AU30" s="4"/>
      <c r="AV30" s="4"/>
      <c r="AW30" s="4"/>
      <c r="AX30" s="4"/>
      <c r="AY30" s="4"/>
      <c r="AZ30" s="4"/>
      <c r="BA30" s="5"/>
      <c r="BB30" s="4"/>
      <c r="BC30" s="4"/>
      <c r="BD30" s="5"/>
      <c r="BE30" s="4"/>
      <c r="BF30" s="4"/>
      <c r="BG30" s="4"/>
      <c r="BH30" s="4"/>
      <c r="BI30" s="4"/>
      <c r="BJ30" s="5"/>
      <c r="BK30" s="4"/>
      <c r="BL30" s="4"/>
      <c r="BM30" s="4"/>
      <c r="BN30" s="4"/>
      <c r="BO30" s="4"/>
      <c r="BP30" s="5"/>
      <c r="BQ30" s="4"/>
      <c r="BR30" s="4"/>
      <c r="BS30" s="3"/>
    </row>
    <row r="31" spans="1:71" ht="35.25" customHeight="1" x14ac:dyDescent="0.8">
      <c r="A31" s="2"/>
      <c r="B31" s="2"/>
      <c r="C31" s="41"/>
      <c r="D31" s="41" t="s">
        <v>0</v>
      </c>
      <c r="E31" s="41"/>
      <c r="F31" s="41"/>
      <c r="G31" s="55"/>
      <c r="H31" s="55"/>
      <c r="I31" s="55"/>
      <c r="J31" s="55"/>
      <c r="K31" s="55"/>
      <c r="L31" s="55"/>
      <c r="M31" s="55"/>
      <c r="N31" s="55"/>
      <c r="O31" s="41"/>
      <c r="P31" s="41"/>
      <c r="Q31" s="41"/>
      <c r="R31" s="41"/>
      <c r="S31" s="41"/>
      <c r="T31" s="41"/>
      <c r="U31" s="41"/>
      <c r="V31" s="41"/>
      <c r="W31" s="41"/>
      <c r="X31" s="42"/>
      <c r="Y31" s="54"/>
      <c r="Z31" s="42"/>
      <c r="AA31" s="42"/>
      <c r="AB31" s="42"/>
      <c r="AC31" s="42"/>
      <c r="AD31" s="42"/>
      <c r="AE31" s="54"/>
      <c r="AF31" s="42"/>
      <c r="AG31" s="42"/>
      <c r="AH31" s="4"/>
      <c r="AI31" s="4"/>
      <c r="AJ31" s="4"/>
      <c r="AK31" s="5"/>
      <c r="AL31" s="4"/>
      <c r="AM31" s="4"/>
      <c r="AN31" s="4"/>
      <c r="AO31" s="4"/>
      <c r="AP31" s="4"/>
      <c r="AQ31" s="4"/>
      <c r="AR31" s="4"/>
      <c r="AS31" s="5"/>
      <c r="AT31" s="4"/>
      <c r="AU31" s="4"/>
      <c r="AV31" s="4"/>
      <c r="AW31" s="4"/>
      <c r="AX31" s="4"/>
      <c r="AY31" s="4"/>
      <c r="AZ31" s="4"/>
      <c r="BA31" s="5"/>
      <c r="BB31" s="4"/>
      <c r="BC31" s="4"/>
      <c r="BD31" s="5"/>
      <c r="BE31" s="4"/>
      <c r="BF31" s="4"/>
      <c r="BG31" s="4"/>
      <c r="BH31" s="4"/>
      <c r="BI31" s="4"/>
      <c r="BJ31" s="5"/>
      <c r="BK31" s="4"/>
      <c r="BL31" s="4"/>
      <c r="BM31" s="4"/>
      <c r="BN31" s="4"/>
      <c r="BO31" s="4"/>
      <c r="BP31" s="5"/>
      <c r="BQ31" s="4"/>
      <c r="BR31" s="4"/>
      <c r="BS31" s="3"/>
    </row>
    <row r="32" spans="1:71" ht="45.6" x14ac:dyDescent="0.8">
      <c r="A32" s="2"/>
      <c r="B32" s="2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  <c r="Y32" s="54"/>
      <c r="Z32" s="42"/>
      <c r="AA32" s="42"/>
      <c r="AB32" s="42"/>
      <c r="AC32" s="42"/>
      <c r="AD32" s="42"/>
      <c r="AE32" s="54"/>
      <c r="AF32" s="42"/>
      <c r="AG32" s="42"/>
      <c r="AH32" s="4"/>
      <c r="AI32" s="4"/>
      <c r="AJ32" s="4"/>
      <c r="AK32" s="5"/>
      <c r="AL32" s="4"/>
      <c r="AM32" s="4"/>
      <c r="AN32" s="4"/>
      <c r="AO32" s="4"/>
      <c r="AP32" s="4"/>
      <c r="AQ32" s="4"/>
      <c r="AR32" s="4"/>
      <c r="AS32" s="5"/>
      <c r="AT32" s="4"/>
      <c r="AU32" s="4"/>
      <c r="AV32" s="4"/>
      <c r="AW32" s="4"/>
      <c r="AX32" s="4"/>
      <c r="AY32" s="4"/>
      <c r="AZ32" s="4"/>
      <c r="BA32" s="5"/>
      <c r="BB32" s="4"/>
      <c r="BC32" s="4"/>
      <c r="BD32" s="5"/>
      <c r="BE32" s="4"/>
      <c r="BF32" s="4"/>
      <c r="BG32" s="4"/>
      <c r="BH32" s="4"/>
      <c r="BI32" s="4"/>
      <c r="BJ32" s="5"/>
      <c r="BK32" s="4"/>
      <c r="BL32" s="4"/>
      <c r="BM32" s="4"/>
      <c r="BN32" s="4"/>
      <c r="BO32" s="4"/>
      <c r="BP32" s="5"/>
      <c r="BQ32" s="4"/>
      <c r="BR32" s="4"/>
      <c r="BS32" s="3"/>
    </row>
    <row r="33" spans="1:71" ht="45.6" x14ac:dyDescent="0.8">
      <c r="A33" s="2"/>
      <c r="B33" s="2"/>
      <c r="C33" s="2"/>
      <c r="D33" s="2"/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4"/>
      <c r="Y33" s="5"/>
      <c r="Z33" s="4"/>
      <c r="AA33" s="4"/>
      <c r="AB33" s="4"/>
      <c r="AC33" s="4"/>
      <c r="AD33" s="4"/>
      <c r="AE33" s="5"/>
      <c r="AF33" s="4"/>
      <c r="AG33" s="4"/>
      <c r="AH33" s="4"/>
      <c r="AI33" s="4"/>
      <c r="AJ33" s="4"/>
      <c r="AK33" s="5"/>
      <c r="AL33" s="4"/>
      <c r="AM33" s="4"/>
      <c r="AN33" s="4"/>
      <c r="AO33" s="4"/>
      <c r="AP33" s="4"/>
      <c r="AQ33" s="4"/>
      <c r="AR33" s="4"/>
      <c r="AS33" s="5"/>
      <c r="AT33" s="4"/>
      <c r="AU33" s="4"/>
      <c r="AV33" s="4"/>
      <c r="AW33" s="4"/>
      <c r="AX33" s="4"/>
      <c r="AY33" s="4"/>
      <c r="AZ33" s="4"/>
      <c r="BA33" s="5"/>
      <c r="BB33" s="4"/>
      <c r="BC33" s="4"/>
      <c r="BD33" s="5"/>
      <c r="BE33" s="4"/>
      <c r="BF33" s="4"/>
      <c r="BG33" s="4"/>
      <c r="BH33" s="4"/>
      <c r="BI33" s="4"/>
      <c r="BJ33" s="5"/>
      <c r="BK33" s="4"/>
      <c r="BL33" s="4"/>
      <c r="BM33" s="4"/>
      <c r="BN33" s="4"/>
      <c r="BO33" s="4"/>
      <c r="BP33" s="5"/>
      <c r="BQ33" s="4"/>
      <c r="BR33" s="4"/>
      <c r="BS33" s="3"/>
    </row>
  </sheetData>
  <mergeCells count="27">
    <mergeCell ref="B2:BS2"/>
    <mergeCell ref="B3:BS3"/>
    <mergeCell ref="B5:B7"/>
    <mergeCell ref="C5:C7"/>
    <mergeCell ref="D5:D7"/>
    <mergeCell ref="E5:E7"/>
    <mergeCell ref="F5:N5"/>
    <mergeCell ref="O5:T5"/>
    <mergeCell ref="U5:Z5"/>
    <mergeCell ref="AA5:AF5"/>
    <mergeCell ref="BQ5:BQ6"/>
    <mergeCell ref="BR5:BR7"/>
    <mergeCell ref="BS5:BS7"/>
    <mergeCell ref="BE5:BJ5"/>
    <mergeCell ref="BK5:BP5"/>
    <mergeCell ref="AB23:AC23"/>
    <mergeCell ref="AG5:AL5"/>
    <mergeCell ref="AM5:AT5"/>
    <mergeCell ref="AU5:BA5"/>
    <mergeCell ref="BB5:BD5"/>
    <mergeCell ref="AB21:AC21"/>
    <mergeCell ref="AB22:AC22"/>
    <mergeCell ref="AB24:AC24"/>
    <mergeCell ref="AB25:AC25"/>
    <mergeCell ref="AB26:AC26"/>
    <mergeCell ref="AB27:AC27"/>
    <mergeCell ref="AB28:AC28"/>
  </mergeCells>
  <dataValidations count="6"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2 เท่านั้น" sqref="K8:K19 F8:F19 AU8:AU19 AQ8:AQ19 AO8:AO19 BC8:BC19 AK8:AK19 AD8:AD19 AB8:AB19 W8:W19 Q8:Q19" xr:uid="{4DFF5A16-CCEE-4182-A0A2-BD9B4D9A6E64}">
      <formula1>"2,0"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3 เท่านั้น" sqref="AJ8:AJ19 S8:S19 AR8:AS19" xr:uid="{D2207802-2056-448E-A44E-0AB5F977BFE8}">
      <formula1>"3,0"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0.5 เท่านั้น" sqref="AX8:AZ19 X8:Y19 AW8" xr:uid="{D8975A87-146B-432C-9250-3734424A25D8}">
      <formula1>"0.5,0"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4 เท่านั้น" sqref="AC8:AC19" xr:uid="{633102BE-74FB-4A11-BEDA-5B14C4614E45}">
      <formula1>"4,0"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1 เท่านั้น" sqref="AM19 L8:M19 AN8:AN18 G8:J19 AP8:AP19 U8:V19 BK8:BO19 BE8:BI19 BB8:BB19 AE8:AE19 AA8:AA19 AV8:AV19 AW9:AW19" xr:uid="{CB03E970-758C-417F-AAFF-40EEDC2FFE9B}">
      <formula1>"1,0"</formula1>
    </dataValidation>
    <dataValidation type="list" operator="notEqual" allowBlank="1" showInputMessage="1" showErrorMessage="1" errorTitle="กรอกค่าคะแนนไม่ถูกต้อง" error="ช่องรายการนี้ใส่ค่าคะแนนได้เฉพาะ 0 หรือ 5 เท่านั้น" sqref="AN19 R8:R19 AM8:AM18 O8:P19 AG8:AI19" xr:uid="{F858091A-52A8-46C2-94B1-FD3C92A2C5C6}">
      <formula1>"5,0"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แบบ สพท.2515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somlove jj</dc:creator>
  <cp:lastModifiedBy>Admin</cp:lastModifiedBy>
  <cp:lastPrinted>2024-08-13T09:25:21Z</cp:lastPrinted>
  <dcterms:created xsi:type="dcterms:W3CDTF">2024-04-02T03:55:54Z</dcterms:created>
  <dcterms:modified xsi:type="dcterms:W3CDTF">2026-08-14T02:45:09Z</dcterms:modified>
</cp:coreProperties>
</file>